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edukw1c-my.sharepoint.com/personal/peyam_ali_edu-kw1c_nl/Documents/KW1C School/KW1C School/2025-2026/gezondheids-app/public/css/"/>
    </mc:Choice>
  </mc:AlternateContent>
  <xr:revisionPtr revIDLastSave="0" documentId="14_{8EB50C16-CA6B-42F9-B07B-FB1D4DF794CB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Overzicht" sheetId="1" r:id="rId1"/>
    <sheet name="1. kcal naar kJ" sheetId="2" r:id="rId2"/>
    <sheet name="2. MET-formule beweging" sheetId="3" r:id="rId3"/>
    <sheet name="3. Slaapduur berekening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4" l="1"/>
  <c r="F14" i="4" s="1"/>
  <c r="D13" i="4"/>
  <c r="F13" i="4" s="1"/>
  <c r="D12" i="4"/>
  <c r="F12" i="4" s="1"/>
  <c r="D11" i="4"/>
  <c r="F11" i="4" s="1"/>
  <c r="D10" i="4"/>
  <c r="D18" i="4" s="1"/>
  <c r="D24" i="3"/>
  <c r="F24" i="3" s="1"/>
  <c r="D23" i="3"/>
  <c r="F23" i="3" s="1"/>
  <c r="D22" i="3"/>
  <c r="F22" i="3" s="1"/>
  <c r="D21" i="3"/>
  <c r="F21" i="3" s="1"/>
  <c r="D20" i="3"/>
  <c r="F20" i="3" s="1"/>
  <c r="D19" i="3"/>
  <c r="F19" i="3" s="1"/>
  <c r="E18" i="2"/>
  <c r="D18" i="2"/>
  <c r="E17" i="2"/>
  <c r="D17" i="2"/>
  <c r="F15" i="2"/>
  <c r="E15" i="2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F26" i="3" l="1"/>
  <c r="F28" i="3"/>
  <c r="F27" i="3"/>
  <c r="E10" i="4"/>
  <c r="F10" i="4"/>
  <c r="E11" i="4"/>
  <c r="E12" i="4"/>
  <c r="E13" i="4"/>
  <c r="E14" i="4"/>
  <c r="D16" i="4"/>
  <c r="D17" i="4"/>
</calcChain>
</file>

<file path=xl/sharedStrings.xml><?xml version="1.0" encoding="utf-8"?>
<sst xmlns="http://schemas.openxmlformats.org/spreadsheetml/2006/main" count="107" uniqueCount="82">
  <si>
    <t>Rekenwerk – Mijn Gezondheid PWA</t>
  </si>
  <si>
    <t>Dit document bevat 3 uitgewerkte berekeningen passend bij het thema 'Mijn Gezondheid':</t>
  </si>
  <si>
    <t>1. kcal naar kJ</t>
  </si>
  <si>
    <t>Voedingswaarden omrekenen van kilocalorieën naar kilojoule</t>
  </si>
  <si>
    <t>2. MET-formule beweging</t>
  </si>
  <si>
    <t>Verbrande calorieën berekenen bij sportactiviteiten</t>
  </si>
  <si>
    <t>3. Slaapduur berekening</t>
  </si>
  <si>
    <t>Slaapduur en -kwaliteit berekenen op basis van bed- en wektijd</t>
  </si>
  <si>
    <t>Berekening 1: Voeding omrekenen van kcal naar kJ</t>
  </si>
  <si>
    <t>Uitleg</t>
  </si>
  <si>
    <t>1 kilocalorie (kcal) komt overeen met 4,184 kilojoule (kJ). Voedingswaarden op verpakkingen worden vaak in beide eenheden weergegeven. In de Mijn Gezondheid app worden voedingsitems in kcal opgeslagen — deze berekening zet dat om naar kJ.</t>
  </si>
  <si>
    <t>Omrekenfactor</t>
  </si>
  <si>
    <t>kJ per kcal (vaste wetenschappelijke constante)</t>
  </si>
  <si>
    <t>Datum</t>
  </si>
  <si>
    <t>Omschrijving</t>
  </si>
  <si>
    <t>Categorie</t>
  </si>
  <si>
    <t>Waarde (kcal)</t>
  </si>
  <si>
    <t>Waarde (kJ)</t>
  </si>
  <si>
    <t>Opmerking</t>
  </si>
  <si>
    <t>2025-06-10</t>
  </si>
  <si>
    <t>Havermout met banaan</t>
  </si>
  <si>
    <t>Voeding</t>
  </si>
  <si>
    <t>Kipfilet met rijst</t>
  </si>
  <si>
    <t>Appel</t>
  </si>
  <si>
    <t>2025-06-11</t>
  </si>
  <si>
    <t>Volkoren boterham met kaas</t>
  </si>
  <si>
    <t>Pasta bolognese</t>
  </si>
  <si>
    <t>2025-06-12</t>
  </si>
  <si>
    <t>Salade met kip</t>
  </si>
  <si>
    <t>Yoghurt met granola</t>
  </si>
  <si>
    <t>TOTAAL</t>
  </si>
  <si>
    <t>GEMIDDELDE</t>
  </si>
  <si>
    <t>Berekening 2: Verbrande calorieën met de MET-formule</t>
  </si>
  <si>
    <t>MET (Metabolic Equivalent of Task) geeft aan hoeveel energie een activiteit vraagt vergeleken met rust. De formule voor verbrande calorieën is: Calorieën = MET × gewicht (kg) × duur (uur). Elke beweging-categorie in de app krijgt hier een MET-waarde, gebaseerd op de omschrijving.</t>
  </si>
  <si>
    <t>Lichaamsgewicht (kg)</t>
  </si>
  <si>
    <t>Vul hier je eigen gewicht in (kg)</t>
  </si>
  <si>
    <t>MET-waarden tabel (bron: Compendium of Physical Activities)</t>
  </si>
  <si>
    <t>Activiteit</t>
  </si>
  <si>
    <t>MET-waarde</t>
  </si>
  <si>
    <t>Wandelen (rustig)</t>
  </si>
  <si>
    <t>Hardlopen (8 km/u)</t>
  </si>
  <si>
    <t>Fietsen (matig)</t>
  </si>
  <si>
    <t>Krachttraining</t>
  </si>
  <si>
    <t>Zwemmen</t>
  </si>
  <si>
    <t>Yoga</t>
  </si>
  <si>
    <t>Beweging-items uit de app</t>
  </si>
  <si>
    <t>Duur (min)</t>
  </si>
  <si>
    <t>Duur (uur)</t>
  </si>
  <si>
    <t>Verbrande kcal</t>
  </si>
  <si>
    <t>Hardlopen rondje park</t>
  </si>
  <si>
    <t>Krachttraining sportschool</t>
  </si>
  <si>
    <t>Wandelen naar school</t>
  </si>
  <si>
    <t>Fietsen naar werk</t>
  </si>
  <si>
    <t>Zwemmen baantjes</t>
  </si>
  <si>
    <t>Yoga thuis</t>
  </si>
  <si>
    <t>TOTAAL VERBRAND</t>
  </si>
  <si>
    <t>GEMIDDELD PER ACTIVITEIT</t>
  </si>
  <si>
    <t>MAXIMUM VERBRAND (1 activiteit)</t>
  </si>
  <si>
    <t>Berekening 3: Slaapduur op basis van begin- en eindtijd</t>
  </si>
  <si>
    <t>De app slaat slaap op in minuten, maar het is voor de gebruiker prettiger om een begin- en eindtijd in te vullen. Deze berekening zet bedtijd en wektijd om naar het aantal geslapen uren, en beoordeelt of dit voldoende is (advies: 7-9 uur per nacht).</t>
  </si>
  <si>
    <t>Aanbevolen minimum (uur)</t>
  </si>
  <si>
    <t>Aanbevolen maximum (uur)</t>
  </si>
  <si>
    <t>Bedtijd</t>
  </si>
  <si>
    <t>Wektijd</t>
  </si>
  <si>
    <t>Slaapduur (uur)</t>
  </si>
  <si>
    <t>Slaapduur (min)</t>
  </si>
  <si>
    <t>Beoordeling</t>
  </si>
  <si>
    <t>23:00</t>
  </si>
  <si>
    <t>07:00</t>
  </si>
  <si>
    <t>23:45</t>
  </si>
  <si>
    <t>06:30</t>
  </si>
  <si>
    <t>00:30</t>
  </si>
  <si>
    <t>07:15</t>
  </si>
  <si>
    <t>2025-06-13</t>
  </si>
  <si>
    <t>22:30</t>
  </si>
  <si>
    <t>06:45</t>
  </si>
  <si>
    <t>2025-06-14</t>
  </si>
  <si>
    <t>01:00</t>
  </si>
  <si>
    <t>08:00</t>
  </si>
  <si>
    <t>GEMIDDELDE SLAAPDUUR (uur)</t>
  </si>
  <si>
    <t>MINIMUM SLAAPDUUR (uur)</t>
  </si>
  <si>
    <t>MAXIMUM SLAAPDUUR (uur)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</si>
</sst>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2"/>
      <color rgb="FF2E7D32"/>
      <name val="Arial"/>
      <charset val="1"/>
    </font>
    <font>
      <b/>
      <sz val="10"/>
      <name val="Cambria"/>
      <charset val="1"/>
    </font>
    <font>
      <i/>
      <sz val="10"/>
      <color rgb="FF666666"/>
      <name val="Arial"/>
      <charset val="1"/>
    </font>
    <font>
      <b/>
      <sz val="14"/>
      <color rgb="FFFFFFFF"/>
      <name val="Arial"/>
      <charset val="1"/>
    </font>
    <font>
      <b/>
      <sz val="11"/>
      <name val="Cambria"/>
      <charset val="1"/>
    </font>
    <font>
      <sz val="10"/>
      <color rgb="FF0000FF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6"/>
      <color theme="1"/>
      <name val="Arial"/>
      <family val="2"/>
    </font>
    <font>
      <b/>
      <sz val="1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FFFFFF"/>
      </patternFill>
    </fill>
    <fill>
      <patternFill patternType="solid">
        <fgColor theme="0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7" fillId="3" borderId="1" xfId="0" applyFont="1" applyFill="1" applyBorder="1"/>
    <xf numFmtId="0" fontId="10" fillId="0" borderId="1" xfId="0" applyFont="1" applyBorder="1"/>
    <xf numFmtId="0" fontId="6" fillId="4" borderId="0" xfId="0" applyFont="1" applyFill="1"/>
    <xf numFmtId="0" fontId="9" fillId="2" borderId="1" xfId="0" applyFont="1" applyFill="1" applyBorder="1"/>
    <xf numFmtId="2" fontId="10" fillId="0" borderId="1" xfId="0" applyNumberFormat="1" applyFont="1" applyBorder="1"/>
    <xf numFmtId="1" fontId="10" fillId="0" borderId="1" xfId="0" applyNumberFormat="1" applyFont="1" applyBorder="1"/>
    <xf numFmtId="2" fontId="6" fillId="4" borderId="0" xfId="0" applyNumberFormat="1" applyFont="1" applyFill="1"/>
    <xf numFmtId="0" fontId="12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1" fillId="5" borderId="0" xfId="0" applyFont="1" applyFill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/>
    <xf numFmtId="0" fontId="3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Normal="100" workbookViewId="0">
      <selection activeCell="A10" sqref="A10"/>
    </sheetView>
  </sheetViews>
  <sheetFormatPr defaultColWidth="8.7109375" defaultRowHeight="14.45"/>
  <cols>
    <col min="1" max="1" width="26" customWidth="1"/>
    <col min="2" max="2" width="50" customWidth="1"/>
  </cols>
  <sheetData>
    <row r="1" spans="1:5" ht="31.5" customHeight="1">
      <c r="A1" s="17" t="s">
        <v>0</v>
      </c>
      <c r="B1" s="17"/>
      <c r="C1" s="17"/>
      <c r="D1" s="17"/>
      <c r="E1" s="17"/>
    </row>
    <row r="3" spans="1:5">
      <c r="A3" s="18" t="s">
        <v>1</v>
      </c>
      <c r="B3" s="18"/>
      <c r="C3" s="18"/>
      <c r="D3" s="18"/>
      <c r="E3" s="18"/>
    </row>
    <row r="5" spans="1:5" ht="15.6">
      <c r="A5" s="2" t="s">
        <v>2</v>
      </c>
      <c r="B5" s="18" t="s">
        <v>3</v>
      </c>
      <c r="C5" s="18"/>
      <c r="D5" s="18"/>
      <c r="E5" s="18"/>
    </row>
    <row r="7" spans="1:5" ht="15.6">
      <c r="A7" s="2" t="s">
        <v>4</v>
      </c>
      <c r="B7" s="18" t="s">
        <v>5</v>
      </c>
      <c r="C7" s="18"/>
      <c r="D7" s="18"/>
      <c r="E7" s="18"/>
    </row>
    <row r="9" spans="1:5" ht="15.6">
      <c r="A9" s="2" t="s">
        <v>6</v>
      </c>
      <c r="B9" s="18" t="s">
        <v>7</v>
      </c>
      <c r="C9" s="18"/>
      <c r="D9" s="18"/>
      <c r="E9" s="18"/>
    </row>
    <row r="12" spans="1:5">
      <c r="A12" s="14"/>
    </row>
    <row r="13" spans="1:5">
      <c r="A13" s="19"/>
      <c r="B13" s="19"/>
      <c r="C13" s="19"/>
      <c r="D13" s="19"/>
      <c r="E13" s="19"/>
    </row>
    <row r="14" spans="1:5">
      <c r="A14" s="19"/>
      <c r="B14" s="19"/>
      <c r="C14" s="19"/>
      <c r="D14" s="19"/>
      <c r="E14" s="19"/>
    </row>
  </sheetData>
  <mergeCells count="7">
    <mergeCell ref="A13:E13"/>
    <mergeCell ref="A14:E14"/>
    <mergeCell ref="A1:E1"/>
    <mergeCell ref="A3:E3"/>
    <mergeCell ref="B5:E5"/>
    <mergeCell ref="B7:E7"/>
    <mergeCell ref="B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zoomScaleNormal="100" workbookViewId="0">
      <selection sqref="A1:F1"/>
    </sheetView>
  </sheetViews>
  <sheetFormatPr defaultColWidth="8.7109375" defaultRowHeight="14.45"/>
  <cols>
    <col min="1" max="1" width="14" customWidth="1"/>
    <col min="2" max="2" width="28" customWidth="1"/>
    <col min="3" max="3" width="12" customWidth="1"/>
    <col min="4" max="5" width="14" customWidth="1"/>
    <col min="6" max="6" width="20" customWidth="1"/>
  </cols>
  <sheetData>
    <row r="1" spans="1:6" ht="27.75" customHeight="1">
      <c r="A1" s="15" t="s">
        <v>8</v>
      </c>
      <c r="B1" s="15"/>
      <c r="C1" s="15"/>
      <c r="D1" s="15"/>
      <c r="E1" s="15"/>
      <c r="F1" s="15"/>
    </row>
    <row r="3" spans="1:6">
      <c r="A3" s="3" t="s">
        <v>9</v>
      </c>
    </row>
    <row r="4" spans="1:6" ht="45" customHeight="1">
      <c r="A4" s="16" t="s">
        <v>10</v>
      </c>
      <c r="B4" s="16"/>
      <c r="C4" s="16"/>
      <c r="D4" s="16"/>
      <c r="E4" s="16"/>
      <c r="F4" s="16"/>
    </row>
    <row r="6" spans="1:6">
      <c r="A6" s="3" t="s">
        <v>11</v>
      </c>
      <c r="B6" s="4">
        <v>4.1840000000000002</v>
      </c>
      <c r="C6" s="5" t="s">
        <v>12</v>
      </c>
    </row>
    <row r="8" spans="1:6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</row>
    <row r="9" spans="1:6">
      <c r="A9" s="7" t="s">
        <v>19</v>
      </c>
      <c r="B9" s="7" t="s">
        <v>20</v>
      </c>
      <c r="C9" s="7" t="s">
        <v>21</v>
      </c>
      <c r="D9" s="7">
        <v>350</v>
      </c>
      <c r="E9" s="8">
        <f t="shared" ref="E9:E15" si="0">D9*$B$6</f>
        <v>1464.4</v>
      </c>
      <c r="F9" s="8" t="str">
        <f t="shared" ref="F9:F15" si="1">IF(E9&gt;2000,"Hoog energetisch","Normaal")</f>
        <v>Normaal</v>
      </c>
    </row>
    <row r="10" spans="1:6">
      <c r="A10" s="7" t="s">
        <v>19</v>
      </c>
      <c r="B10" s="7" t="s">
        <v>22</v>
      </c>
      <c r="C10" s="7" t="s">
        <v>21</v>
      </c>
      <c r="D10" s="7">
        <v>620</v>
      </c>
      <c r="E10" s="8">
        <f t="shared" si="0"/>
        <v>2594.08</v>
      </c>
      <c r="F10" s="8" t="str">
        <f t="shared" si="1"/>
        <v>Hoog energetisch</v>
      </c>
    </row>
    <row r="11" spans="1:6">
      <c r="A11" s="7" t="s">
        <v>19</v>
      </c>
      <c r="B11" s="7" t="s">
        <v>23</v>
      </c>
      <c r="C11" s="7" t="s">
        <v>21</v>
      </c>
      <c r="D11" s="7">
        <v>95</v>
      </c>
      <c r="E11" s="8">
        <f t="shared" si="0"/>
        <v>397.48</v>
      </c>
      <c r="F11" s="8" t="str">
        <f t="shared" si="1"/>
        <v>Normaal</v>
      </c>
    </row>
    <row r="12" spans="1:6">
      <c r="A12" s="7" t="s">
        <v>24</v>
      </c>
      <c r="B12" s="7" t="s">
        <v>25</v>
      </c>
      <c r="C12" s="7" t="s">
        <v>21</v>
      </c>
      <c r="D12" s="7">
        <v>280</v>
      </c>
      <c r="E12" s="8">
        <f t="shared" si="0"/>
        <v>1171.52</v>
      </c>
      <c r="F12" s="8" t="str">
        <f t="shared" si="1"/>
        <v>Normaal</v>
      </c>
    </row>
    <row r="13" spans="1:6">
      <c r="A13" s="7" t="s">
        <v>24</v>
      </c>
      <c r="B13" s="7" t="s">
        <v>26</v>
      </c>
      <c r="C13" s="7" t="s">
        <v>21</v>
      </c>
      <c r="D13" s="7">
        <v>580</v>
      </c>
      <c r="E13" s="8">
        <f t="shared" si="0"/>
        <v>2426.7200000000003</v>
      </c>
      <c r="F13" s="8" t="str">
        <f t="shared" si="1"/>
        <v>Hoog energetisch</v>
      </c>
    </row>
    <row r="14" spans="1:6">
      <c r="A14" s="7" t="s">
        <v>27</v>
      </c>
      <c r="B14" s="7" t="s">
        <v>28</v>
      </c>
      <c r="C14" s="7" t="s">
        <v>21</v>
      </c>
      <c r="D14" s="7">
        <v>410</v>
      </c>
      <c r="E14" s="8">
        <f t="shared" si="0"/>
        <v>1715.44</v>
      </c>
      <c r="F14" s="8" t="str">
        <f t="shared" si="1"/>
        <v>Normaal</v>
      </c>
    </row>
    <row r="15" spans="1:6">
      <c r="A15" s="7" t="s">
        <v>27</v>
      </c>
      <c r="B15" s="7" t="s">
        <v>29</v>
      </c>
      <c r="C15" s="7" t="s">
        <v>21</v>
      </c>
      <c r="D15" s="7">
        <v>320</v>
      </c>
      <c r="E15" s="8">
        <f t="shared" si="0"/>
        <v>1338.88</v>
      </c>
      <c r="F15" s="8" t="str">
        <f t="shared" si="1"/>
        <v>Normaal</v>
      </c>
    </row>
    <row r="17" spans="2:5">
      <c r="B17" s="9" t="s">
        <v>30</v>
      </c>
      <c r="D17" s="9">
        <f>SUM(D9:D15)</f>
        <v>2655</v>
      </c>
      <c r="E17" s="9">
        <f>SUM(E9:E15)</f>
        <v>11108.52</v>
      </c>
    </row>
    <row r="18" spans="2:5">
      <c r="B18" s="9" t="s">
        <v>31</v>
      </c>
      <c r="D18" s="9">
        <f>AVERAGE(D9:D15)</f>
        <v>379.28571428571428</v>
      </c>
      <c r="E18" s="9">
        <f>AVERAGE(E9:E15)</f>
        <v>1586.9314285714286</v>
      </c>
    </row>
  </sheetData>
  <mergeCells count="2">
    <mergeCell ref="A1:F1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Normal="100" workbookViewId="0"/>
  </sheetViews>
  <sheetFormatPr defaultColWidth="8.7109375" defaultRowHeight="14.45"/>
  <cols>
    <col min="1" max="1" width="14" customWidth="1"/>
    <col min="2" max="2" width="30" customWidth="1"/>
    <col min="3" max="5" width="13" customWidth="1"/>
    <col min="6" max="6" width="16" customWidth="1"/>
  </cols>
  <sheetData>
    <row r="1" spans="1:7" ht="27.75" customHeight="1">
      <c r="A1" s="15" t="s">
        <v>32</v>
      </c>
      <c r="B1" s="15"/>
      <c r="C1" s="15"/>
      <c r="D1" s="15"/>
      <c r="E1" s="15"/>
      <c r="F1" s="15"/>
      <c r="G1" s="15"/>
    </row>
    <row r="3" spans="1:7">
      <c r="A3" s="3" t="s">
        <v>9</v>
      </c>
    </row>
    <row r="4" spans="1:7" ht="45" customHeight="1">
      <c r="A4" s="16" t="s">
        <v>33</v>
      </c>
      <c r="B4" s="16"/>
      <c r="C4" s="16"/>
      <c r="D4" s="16"/>
      <c r="E4" s="16"/>
      <c r="F4" s="16"/>
      <c r="G4" s="16"/>
    </row>
    <row r="6" spans="1:7">
      <c r="A6" s="3" t="s">
        <v>34</v>
      </c>
      <c r="B6" s="4">
        <v>70</v>
      </c>
      <c r="C6" s="5" t="s">
        <v>35</v>
      </c>
    </row>
    <row r="8" spans="1:7">
      <c r="A8" s="20" t="s">
        <v>36</v>
      </c>
      <c r="B8" s="20"/>
      <c r="C8" s="20"/>
    </row>
    <row r="9" spans="1:7">
      <c r="A9" s="10" t="s">
        <v>37</v>
      </c>
      <c r="B9" s="10" t="s">
        <v>38</v>
      </c>
    </row>
    <row r="10" spans="1:7">
      <c r="A10" s="7" t="s">
        <v>39</v>
      </c>
      <c r="B10" s="7">
        <v>3</v>
      </c>
    </row>
    <row r="11" spans="1:7">
      <c r="A11" s="7" t="s">
        <v>40</v>
      </c>
      <c r="B11" s="7">
        <v>8.3000000000000007</v>
      </c>
    </row>
    <row r="12" spans="1:7">
      <c r="A12" s="7" t="s">
        <v>41</v>
      </c>
      <c r="B12" s="7">
        <v>6.8</v>
      </c>
    </row>
    <row r="13" spans="1:7">
      <c r="A13" s="7" t="s">
        <v>42</v>
      </c>
      <c r="B13" s="7">
        <v>5</v>
      </c>
    </row>
    <row r="14" spans="1:7">
      <c r="A14" s="7" t="s">
        <v>43</v>
      </c>
      <c r="B14" s="7">
        <v>7</v>
      </c>
    </row>
    <row r="15" spans="1:7">
      <c r="A15" s="7" t="s">
        <v>44</v>
      </c>
      <c r="B15" s="7">
        <v>2.5</v>
      </c>
    </row>
    <row r="17" spans="1:6">
      <c r="A17" s="1" t="s">
        <v>45</v>
      </c>
    </row>
    <row r="18" spans="1:6">
      <c r="A18" s="6" t="s">
        <v>13</v>
      </c>
      <c r="B18" s="6" t="s">
        <v>14</v>
      </c>
      <c r="C18" s="6" t="s">
        <v>46</v>
      </c>
      <c r="D18" s="6" t="s">
        <v>47</v>
      </c>
      <c r="E18" s="6" t="s">
        <v>38</v>
      </c>
      <c r="F18" s="6" t="s">
        <v>48</v>
      </c>
    </row>
    <row r="19" spans="1:6">
      <c r="A19" s="7" t="s">
        <v>19</v>
      </c>
      <c r="B19" s="7" t="s">
        <v>49</v>
      </c>
      <c r="C19" s="7">
        <v>30</v>
      </c>
      <c r="D19" s="8">
        <f t="shared" ref="D19:D24" si="0">C19/60</f>
        <v>0.5</v>
      </c>
      <c r="E19" s="7">
        <v>8.3000000000000007</v>
      </c>
      <c r="F19" s="8">
        <f t="shared" ref="F19:F24" si="1">E19*$B$6*D19</f>
        <v>290.5</v>
      </c>
    </row>
    <row r="20" spans="1:6">
      <c r="A20" s="7" t="s">
        <v>19</v>
      </c>
      <c r="B20" s="7" t="s">
        <v>50</v>
      </c>
      <c r="C20" s="7">
        <v>45</v>
      </c>
      <c r="D20" s="8">
        <f t="shared" si="0"/>
        <v>0.75</v>
      </c>
      <c r="E20" s="7">
        <v>5</v>
      </c>
      <c r="F20" s="8">
        <f t="shared" si="1"/>
        <v>262.5</v>
      </c>
    </row>
    <row r="21" spans="1:6">
      <c r="A21" s="7" t="s">
        <v>24</v>
      </c>
      <c r="B21" s="7" t="s">
        <v>51</v>
      </c>
      <c r="C21" s="7">
        <v>20</v>
      </c>
      <c r="D21" s="8">
        <f t="shared" si="0"/>
        <v>0.33333333333333331</v>
      </c>
      <c r="E21" s="7">
        <v>3</v>
      </c>
      <c r="F21" s="8">
        <f t="shared" si="1"/>
        <v>70</v>
      </c>
    </row>
    <row r="22" spans="1:6">
      <c r="A22" s="7" t="s">
        <v>24</v>
      </c>
      <c r="B22" s="7" t="s">
        <v>52</v>
      </c>
      <c r="C22" s="7">
        <v>25</v>
      </c>
      <c r="D22" s="8">
        <f t="shared" si="0"/>
        <v>0.41666666666666669</v>
      </c>
      <c r="E22" s="7">
        <v>6.8</v>
      </c>
      <c r="F22" s="8">
        <f t="shared" si="1"/>
        <v>198.33333333333334</v>
      </c>
    </row>
    <row r="23" spans="1:6">
      <c r="A23" s="7" t="s">
        <v>27</v>
      </c>
      <c r="B23" s="7" t="s">
        <v>53</v>
      </c>
      <c r="C23" s="7">
        <v>40</v>
      </c>
      <c r="D23" s="8">
        <f t="shared" si="0"/>
        <v>0.66666666666666663</v>
      </c>
      <c r="E23" s="7">
        <v>7</v>
      </c>
      <c r="F23" s="8">
        <f t="shared" si="1"/>
        <v>326.66666666666663</v>
      </c>
    </row>
    <row r="24" spans="1:6">
      <c r="A24" s="7" t="s">
        <v>27</v>
      </c>
      <c r="B24" s="7" t="s">
        <v>54</v>
      </c>
      <c r="C24" s="7">
        <v>20</v>
      </c>
      <c r="D24" s="8">
        <f t="shared" si="0"/>
        <v>0.33333333333333331</v>
      </c>
      <c r="E24" s="7">
        <v>2.5</v>
      </c>
      <c r="F24" s="8">
        <f t="shared" si="1"/>
        <v>58.333333333333329</v>
      </c>
    </row>
    <row r="26" spans="1:6">
      <c r="B26" s="9" t="s">
        <v>55</v>
      </c>
      <c r="F26" s="9">
        <f>SUM(F19:F24)</f>
        <v>1206.3333333333333</v>
      </c>
    </row>
    <row r="27" spans="1:6">
      <c r="B27" s="9" t="s">
        <v>56</v>
      </c>
      <c r="F27" s="9">
        <f>AVERAGE(F19:F24)</f>
        <v>201.05555555555554</v>
      </c>
    </row>
    <row r="28" spans="1:6">
      <c r="B28" s="9" t="s">
        <v>57</v>
      </c>
      <c r="F28" s="9">
        <f>MAX(F19:F24)</f>
        <v>326.66666666666663</v>
      </c>
    </row>
  </sheetData>
  <mergeCells count="3">
    <mergeCell ref="A1:G1"/>
    <mergeCell ref="A4:G4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Normal="100" workbookViewId="0"/>
  </sheetViews>
  <sheetFormatPr defaultColWidth="8.7109375" defaultRowHeight="14.45"/>
  <cols>
    <col min="1" max="1" width="14" customWidth="1"/>
    <col min="2" max="3" width="12" customWidth="1"/>
    <col min="4" max="5" width="16" customWidth="1"/>
    <col min="6" max="6" width="14" customWidth="1"/>
  </cols>
  <sheetData>
    <row r="1" spans="1:7" ht="27.75" customHeight="1">
      <c r="A1" s="15" t="s">
        <v>58</v>
      </c>
      <c r="B1" s="15"/>
      <c r="C1" s="15"/>
      <c r="D1" s="15"/>
      <c r="E1" s="15"/>
      <c r="F1" s="15"/>
      <c r="G1" s="15"/>
    </row>
    <row r="3" spans="1:7">
      <c r="A3" s="3" t="s">
        <v>9</v>
      </c>
    </row>
    <row r="4" spans="1:7" ht="45" customHeight="1">
      <c r="A4" s="16" t="s">
        <v>59</v>
      </c>
      <c r="B4" s="16"/>
      <c r="C4" s="16"/>
      <c r="D4" s="16"/>
      <c r="E4" s="16"/>
      <c r="F4" s="16"/>
      <c r="G4" s="16"/>
    </row>
    <row r="6" spans="1:7">
      <c r="A6" s="3" t="s">
        <v>60</v>
      </c>
      <c r="B6" s="4">
        <v>7</v>
      </c>
    </row>
    <row r="7" spans="1:7">
      <c r="A7" s="3" t="s">
        <v>61</v>
      </c>
      <c r="B7" s="4">
        <v>9</v>
      </c>
    </row>
    <row r="9" spans="1:7">
      <c r="A9" s="6" t="s">
        <v>13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</row>
    <row r="10" spans="1:7">
      <c r="A10" s="7" t="s">
        <v>19</v>
      </c>
      <c r="B10" s="7" t="s">
        <v>67</v>
      </c>
      <c r="C10" s="7" t="s">
        <v>68</v>
      </c>
      <c r="D10" s="11">
        <f>IF(TIMEVALUE(C10)&lt;TIMEVALUE(B10),(TIMEVALUE(C10)+1-TIMEVALUE(B10))*24,(TIMEVALUE(C10)-TIMEVALUE(B10))*24)</f>
        <v>8</v>
      </c>
      <c r="E10" s="12">
        <f>D10*60</f>
        <v>480</v>
      </c>
      <c r="F10" s="8" t="str">
        <f>IF(D10&lt;$B$6,"Te kort",IF(D10&gt;$B$7,"Te lang","Goed"))</f>
        <v>Goed</v>
      </c>
    </row>
    <row r="11" spans="1:7">
      <c r="A11" s="7" t="s">
        <v>24</v>
      </c>
      <c r="B11" s="7" t="s">
        <v>69</v>
      </c>
      <c r="C11" s="7" t="s">
        <v>70</v>
      </c>
      <c r="D11" s="11">
        <f>IF(TIMEVALUE(C11)&lt;TIMEVALUE(B11),(TIMEVALUE(C11)+1-TIMEVALUE(B11))*24,(TIMEVALUE(C11)-TIMEVALUE(B11))*24)</f>
        <v>6.7499999999999973</v>
      </c>
      <c r="E11" s="12">
        <f>D11*60</f>
        <v>404.99999999999983</v>
      </c>
      <c r="F11" s="8" t="str">
        <f>IF(D11&lt;$B$6,"Te kort",IF(D11&gt;$B$7,"Te lang","Goed"))</f>
        <v>Te kort</v>
      </c>
    </row>
    <row r="12" spans="1:7">
      <c r="A12" s="7" t="s">
        <v>27</v>
      </c>
      <c r="B12" s="7" t="s">
        <v>71</v>
      </c>
      <c r="C12" s="7" t="s">
        <v>72</v>
      </c>
      <c r="D12" s="11">
        <f>IF(TIMEVALUE(C12)&lt;TIMEVALUE(B12),(TIMEVALUE(C12)+1-TIMEVALUE(B12))*24,(TIMEVALUE(C12)-TIMEVALUE(B12))*24)</f>
        <v>6.75</v>
      </c>
      <c r="E12" s="12">
        <f>D12*60</f>
        <v>405</v>
      </c>
      <c r="F12" s="8" t="str">
        <f>IF(D12&lt;$B$6,"Te kort",IF(D12&gt;$B$7,"Te lang","Goed"))</f>
        <v>Te kort</v>
      </c>
    </row>
    <row r="13" spans="1:7">
      <c r="A13" s="7" t="s">
        <v>73</v>
      </c>
      <c r="B13" s="7" t="s">
        <v>74</v>
      </c>
      <c r="C13" s="7" t="s">
        <v>75</v>
      </c>
      <c r="D13" s="11">
        <f>IF(TIMEVALUE(C13)&lt;TIMEVALUE(B13),(TIMEVALUE(C13)+1-TIMEVALUE(B13))*24,(TIMEVALUE(C13)-TIMEVALUE(B13))*24)</f>
        <v>8.25</v>
      </c>
      <c r="E13" s="12">
        <f>D13*60</f>
        <v>495</v>
      </c>
      <c r="F13" s="8" t="str">
        <f>IF(D13&lt;$B$6,"Te kort",IF(D13&gt;$B$7,"Te lang","Goed"))</f>
        <v>Goed</v>
      </c>
    </row>
    <row r="14" spans="1:7">
      <c r="A14" s="7" t="s">
        <v>76</v>
      </c>
      <c r="B14" s="7" t="s">
        <v>77</v>
      </c>
      <c r="C14" s="7" t="s">
        <v>78</v>
      </c>
      <c r="D14" s="11">
        <f>IF(TIMEVALUE(C14)&lt;TIMEVALUE(B14),(TIMEVALUE(C14)+1-TIMEVALUE(B14))*24,(TIMEVALUE(C14)-TIMEVALUE(B14))*24)</f>
        <v>6.9999999999999991</v>
      </c>
      <c r="E14" s="12">
        <f>D14*60</f>
        <v>419.99999999999994</v>
      </c>
      <c r="F14" s="8" t="str">
        <f>IF(D14&lt;$B$6,"Te kort",IF(D14&gt;$B$7,"Te lang","Goed"))</f>
        <v>Goed</v>
      </c>
    </row>
    <row r="16" spans="1:7">
      <c r="B16" s="9" t="s">
        <v>79</v>
      </c>
      <c r="D16" s="13">
        <f>AVERAGE(D10:D14)</f>
        <v>7.3499999999999988</v>
      </c>
    </row>
    <row r="17" spans="2:4">
      <c r="B17" s="9" t="s">
        <v>80</v>
      </c>
      <c r="D17" s="13">
        <f>MIN(D10:D14)</f>
        <v>6.7499999999999973</v>
      </c>
    </row>
    <row r="18" spans="2:4">
      <c r="B18" s="9" t="s">
        <v>81</v>
      </c>
      <c r="D18" s="13">
        <f>MAX(D10:D14)</f>
        <v>8.25</v>
      </c>
    </row>
  </sheetData>
  <mergeCells count="2">
    <mergeCell ref="A1:G1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3640ee-5f76-469f-a938-31f7590168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B8D5411903C4795A72E479F76F41A" ma:contentTypeVersion="11" ma:contentTypeDescription="Create a new document." ma:contentTypeScope="" ma:versionID="eaf34f73f258b65d9a65e64f29fe1a32">
  <xsd:schema xmlns:xsd="http://www.w3.org/2001/XMLSchema" xmlns:xs="http://www.w3.org/2001/XMLSchema" xmlns:p="http://schemas.microsoft.com/office/2006/metadata/properties" xmlns:ns3="783640ee-5f76-469f-a938-31f7590168fc" targetNamespace="http://schemas.microsoft.com/office/2006/metadata/properties" ma:root="true" ma:fieldsID="a20d536f00df528e51440eac39099d10" ns3:_="">
    <xsd:import namespace="783640ee-5f76-469f-a938-31f7590168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640ee-5f76-469f-a938-31f7590168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DF6DFE-563C-47B0-9AA7-8570C21CA73B}"/>
</file>

<file path=customXml/itemProps2.xml><?xml version="1.0" encoding="utf-8"?>
<ds:datastoreItem xmlns:ds="http://schemas.openxmlformats.org/officeDocument/2006/customXml" ds:itemID="{6855DBB5-1740-45D5-8C24-BD2FDC23E201}"/>
</file>

<file path=customXml/itemProps3.xml><?xml version="1.0" encoding="utf-8"?>
<ds:datastoreItem xmlns:ds="http://schemas.openxmlformats.org/officeDocument/2006/customXml" ds:itemID="{736BE015-7D46-4F90-8584-BB27269C3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Peyam Ali</cp:lastModifiedBy>
  <cp:revision>0</cp:revision>
  <dcterms:created xsi:type="dcterms:W3CDTF">2026-06-23T21:16:30Z</dcterms:created>
  <dcterms:modified xsi:type="dcterms:W3CDTF">2026-06-23T22:37:10Z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0x0101000C2B8D5411903C4795A72E479F76F41A</vt:lpwstr>
  </property>
</Properties>
</file>